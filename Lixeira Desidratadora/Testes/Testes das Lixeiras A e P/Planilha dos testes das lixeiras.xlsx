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name="MY_FUNCTION2">LAMBDA(ROUND((('Página1'!$I$9-'Página1'!$J$9)/'Página1'!$I$9), 2))</definedName>
    <definedName name="MY_FUNCTION1">LAMBDA(ROUND((('Página1'!$I$9-'Página1'!$J$9)/'Página1'!$I$9), 2))</definedName>
  </definedNames>
  <calcPr/>
</workbook>
</file>

<file path=xl/sharedStrings.xml><?xml version="1.0" encoding="utf-8"?>
<sst xmlns="http://schemas.openxmlformats.org/spreadsheetml/2006/main" count="44" uniqueCount="36">
  <si>
    <t>Dados</t>
  </si>
  <si>
    <t>Testes</t>
  </si>
  <si>
    <t>Descrição do teste</t>
  </si>
  <si>
    <t>Lixeiras</t>
  </si>
  <si>
    <t>Responsáveis</t>
  </si>
  <si>
    <t xml:space="preserve">Data de início </t>
  </si>
  <si>
    <t xml:space="preserve">Data de término </t>
  </si>
  <si>
    <t>Duração (Min)</t>
  </si>
  <si>
    <t>Status</t>
  </si>
  <si>
    <t>Massa inicial (g)</t>
  </si>
  <si>
    <t>Massa final (g)</t>
  </si>
  <si>
    <t>Δ Massa (g)</t>
  </si>
  <si>
    <t>Eficiência de secagem</t>
  </si>
  <si>
    <t>Volume inicial (cm³)</t>
  </si>
  <si>
    <t>Volume final (cm³)</t>
  </si>
  <si>
    <t>Δ Volume (cm³)</t>
  </si>
  <si>
    <t>Raio de secagem (mm)</t>
  </si>
  <si>
    <t xml:space="preserve">Descrição final </t>
  </si>
  <si>
    <t>Teste 1-A</t>
  </si>
  <si>
    <t>Lixeira A</t>
  </si>
  <si>
    <t>Vitor</t>
  </si>
  <si>
    <t xml:space="preserve">Teste 1-P </t>
  </si>
  <si>
    <t>Teste que vai servir de referência para os outros testes, consiste em testar a eficiência de secagem da lixeira padrão, sem sílica gel.</t>
  </si>
  <si>
    <t>Lixeira P</t>
  </si>
  <si>
    <t>Carlos</t>
  </si>
  <si>
    <t>Finalizado</t>
  </si>
  <si>
    <t>486,00</t>
  </si>
  <si>
    <t>463,71</t>
  </si>
  <si>
    <t>2</t>
  </si>
  <si>
    <t>As faces e principalmente as arestas ficaram mais secas que o interior, fomando uma camada de aproximandamente 2 mm, diferente do resto que permaneceu bastante umido. A face que fica em contato com o fundo, permaneceu mais umida que as outras. A montagem atraiu formigas.</t>
  </si>
  <si>
    <t>Teste 2-P</t>
  </si>
  <si>
    <t>Teste da lixeira com sílica nos cantos e carvão na base.</t>
  </si>
  <si>
    <t>Teste 3-P</t>
  </si>
  <si>
    <t>Teste da lixeira com carvãonos cantos e na base.</t>
  </si>
  <si>
    <t>3</t>
  </si>
  <si>
    <t>As faces e principalmente as arestas ficaram mais secas que o interior, fomando uma camada de aproximandamente 3 mm, diferente do resto que permaneceu bastante umido. A face que fica em contato com o fundo, permaneceu mais umida que as outras. A montagem atraiu formigas. O odor emitido foi menor que nas outras montagens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</si>
</sst>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 HH:mm:ss"/>
  </numFmts>
  <fonts count="6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color theme="1"/>
      <name val="Arial"/>
    </font>
    <font>
      <color rgb="FF434343"/>
      <name val="Roboto"/>
    </font>
    <font>
      <color rgb="FF43434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8F9FA"/>
        <bgColor rgb="FFF8F9FA"/>
      </patternFill>
    </fill>
    <fill>
      <patternFill patternType="solid">
        <fgColor rgb="FF0A53A8"/>
        <bgColor rgb="FF0A53A8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horizontal="center" readingOrder="0" shrinkToFit="0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2" fillId="2" fontId="1" numFmtId="164" xfId="0" applyAlignment="1" applyBorder="1" applyFont="1" applyNumberFormat="1">
      <alignment horizontal="left" readingOrder="0" shrinkToFit="0" vertical="center" wrapText="1"/>
    </xf>
    <xf borderId="2" fillId="5" fontId="1" numFmtId="0" xfId="0" applyAlignment="1" applyBorder="1" applyFill="1" applyFont="1">
      <alignment horizontal="left" readingOrder="0" shrinkToFit="0" vertical="center" wrapText="1"/>
    </xf>
    <xf borderId="2" fillId="6" fontId="1" numFmtId="0" xfId="0" applyAlignment="1" applyBorder="1" applyFill="1" applyFont="1">
      <alignment horizontal="left" readingOrder="0" shrinkToFit="0" vertical="center" wrapText="1"/>
    </xf>
    <xf borderId="2" fillId="4" fontId="1" numFmtId="49" xfId="0" applyAlignment="1" applyBorder="1" applyFont="1" applyNumberFormat="1">
      <alignment horizontal="left" readingOrder="0" shrinkToFit="0" vertical="center" wrapText="1"/>
    </xf>
    <xf borderId="2" fillId="4" fontId="1" numFmtId="0" xfId="0" applyAlignment="1" applyBorder="1" applyFont="1">
      <alignment horizontal="left" readingOrder="0" shrinkToFit="0" vertical="center" wrapText="1"/>
    </xf>
    <xf borderId="3" fillId="7" fontId="3" numFmtId="49" xfId="0" applyAlignment="1" applyBorder="1" applyFill="1" applyFont="1" applyNumberForma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3" fillId="0" fontId="2" numFmtId="49" xfId="0" applyAlignment="1" applyBorder="1" applyFont="1" applyNumberFormat="1">
      <alignment readingOrder="0" shrinkToFit="0" vertical="center" wrapText="0"/>
    </xf>
    <xf borderId="3" fillId="0" fontId="2" numFmtId="165" xfId="0" applyAlignment="1" applyBorder="1" applyFont="1" applyNumberFormat="1">
      <alignment readingOrder="0" shrinkToFit="0" vertical="center" wrapText="0"/>
    </xf>
    <xf borderId="3" fillId="7" fontId="3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3" fillId="7" fontId="4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shrinkToFit="0" vertical="center" wrapText="0"/>
    </xf>
    <xf borderId="3" fillId="3" fontId="5" numFmtId="10" xfId="0" applyAlignment="1" applyBorder="1" applyFont="1" applyNumberFormat="1">
      <alignment horizontal="center" shrinkToFit="0" vertical="center" wrapText="0"/>
    </xf>
    <xf borderId="3" fillId="7" fontId="3" numFmtId="49" xfId="0" applyAlignment="1" applyBorder="1" applyFont="1" applyNumberFormat="1">
      <alignment horizontal="center" readingOrder="0" shrinkToFit="0" vertical="center" wrapText="0"/>
    </xf>
    <xf borderId="3" fillId="3" fontId="4" numFmtId="49" xfId="0" applyAlignment="1" applyBorder="1" applyFont="1" applyNumberFormat="1">
      <alignment readingOrder="0" shrinkToFit="0" vertical="center" wrapText="1"/>
    </xf>
    <xf borderId="3" fillId="3" fontId="4" numFmtId="0" xfId="0" applyAlignment="1" applyBorder="1" applyFont="1">
      <alignment horizontal="center" readingOrder="0" shrinkToFit="0" vertical="center" wrapText="0"/>
    </xf>
    <xf borderId="3" fillId="3" fontId="3" numFmtId="49" xfId="0" applyAlignment="1" applyBorder="1" applyFont="1" applyNumberFormat="1">
      <alignment horizontal="center" readingOrder="0" shrinkToFit="0" vertical="center" wrapText="0"/>
    </xf>
    <xf borderId="3" fillId="3" fontId="3" numFmtId="49" xfId="0" applyAlignment="1" applyBorder="1" applyFont="1" applyNumberFormat="1">
      <alignment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0"/>
    </xf>
    <xf borderId="3" fillId="7" fontId="4" numFmtId="49" xfId="0" applyAlignment="1" applyBorder="1" applyFont="1" applyNumberFormat="1">
      <alignment readingOrder="0"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0" fontId="2" numFmtId="49" xfId="0" applyAlignment="1" applyBorder="1" applyFont="1" applyNumberFormat="1">
      <alignment shrinkToFit="0" vertical="center" wrapText="1"/>
    </xf>
    <xf borderId="3" fillId="0" fontId="2" numFmtId="165" xfId="0" applyAlignment="1" applyBorder="1" applyFont="1" applyNumberForma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7" fontId="3" numFmtId="49" xfId="0" applyAlignment="1" applyBorder="1" applyFont="1" applyNumberFormat="1">
      <alignment horizontal="center" shrinkToFit="0" vertical="center" wrapText="0"/>
    </xf>
    <xf borderId="3" fillId="7" fontId="3" numFmtId="49" xfId="0" applyAlignment="1" applyBorder="1" applyFont="1" applyNumberFormat="1">
      <alignment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3" numFmtId="49" xfId="0" applyAlignment="1" applyBorder="1" applyFont="1" applyNumberFormat="1">
      <alignment horizontal="center" shrinkToFit="0" vertical="center" wrapText="0"/>
    </xf>
    <xf borderId="3" fillId="3" fontId="3" numFmtId="49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49" xfId="0" applyAlignment="1" applyBorder="1" applyFont="1" applyNumberFormat="1">
      <alignment shrinkToFit="0" vertical="center" wrapText="0"/>
    </xf>
    <xf borderId="3" fillId="0" fontId="2" numFmtId="165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Q19" displayName="Tabela_de_testes" name="Tabela_de_testes" id="1">
  <tableColumns count="17">
    <tableColumn name="Testes" id="1"/>
    <tableColumn name="Descrição do teste" id="2"/>
    <tableColumn name="Lixeiras" id="3"/>
    <tableColumn name="Responsáveis" id="4"/>
    <tableColumn name="Data de início " id="5"/>
    <tableColumn name="Data de término " id="6"/>
    <tableColumn name="Duração (Min)" id="7"/>
    <tableColumn name="Status" id="8"/>
    <tableColumn name="Massa inicial (g)" id="9"/>
    <tableColumn name="Massa final (g)" id="10"/>
    <tableColumn name="Δ Massa (g)" id="11"/>
    <tableColumn name="Eficiência de secagem" id="12"/>
    <tableColumn name="Volume inicial (cm³)" id="13"/>
    <tableColumn name="Volume final (cm³)" id="14"/>
    <tableColumn name="Δ Volume (cm³)" id="15"/>
    <tableColumn name="Raio de secagem (mm)" id="16"/>
    <tableColumn name="Descrição final " id="1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0"/>
    <col customWidth="1" min="15" max="15" width="14.5"/>
    <col customWidth="1" min="16" max="16" width="13.75"/>
    <col customWidth="1" min="17" max="17" width="15.25"/>
    <col customWidth="1" min="18" max="18" width="14.13"/>
    <col customWidth="1" min="19" max="19" width="15.25"/>
    <col customWidth="1" min="20" max="20" width="15.13"/>
    <col customWidth="1" min="21" max="21" width="19.25"/>
    <col customWidth="1" min="23" max="23" width="18.13"/>
  </cols>
  <sheetData>
    <row r="6">
      <c r="A6" s="1"/>
      <c r="B6" s="2"/>
      <c r="C6" s="2"/>
      <c r="D6" s="3"/>
      <c r="E6" s="3"/>
      <c r="F6" s="2"/>
      <c r="G6" s="4"/>
      <c r="H6" s="4"/>
      <c r="I6" s="5" t="s">
        <v>0</v>
      </c>
    </row>
    <row r="7" ht="22.5" customHeight="1">
      <c r="A7" s="6" t="s">
        <v>1</v>
      </c>
      <c r="B7" s="7" t="s">
        <v>2</v>
      </c>
      <c r="C7" s="7" t="s">
        <v>3</v>
      </c>
      <c r="D7" s="7" t="s">
        <v>4</v>
      </c>
      <c r="E7" s="8" t="s">
        <v>5</v>
      </c>
      <c r="F7" s="8" t="s">
        <v>6</v>
      </c>
      <c r="G7" s="9" t="s">
        <v>7</v>
      </c>
      <c r="H7" s="7" t="s">
        <v>8</v>
      </c>
      <c r="I7" s="10" t="s">
        <v>9</v>
      </c>
      <c r="J7" s="11" t="s">
        <v>10</v>
      </c>
      <c r="K7" s="12" t="s">
        <v>11</v>
      </c>
      <c r="L7" s="12" t="s">
        <v>12</v>
      </c>
      <c r="M7" s="10" t="s">
        <v>13</v>
      </c>
      <c r="N7" s="11" t="s">
        <v>14</v>
      </c>
      <c r="O7" s="12" t="s">
        <v>15</v>
      </c>
      <c r="P7" s="12" t="s">
        <v>16</v>
      </c>
      <c r="Q7" s="13" t="s">
        <v>17</v>
      </c>
    </row>
    <row r="8" ht="22.5" customHeight="1">
      <c r="A8" s="14" t="s">
        <v>18</v>
      </c>
      <c r="B8" s="15"/>
      <c r="C8" s="15" t="s">
        <v>19</v>
      </c>
      <c r="D8" s="16" t="s">
        <v>20</v>
      </c>
      <c r="E8" s="17"/>
      <c r="F8" s="17"/>
      <c r="G8" s="18"/>
      <c r="H8" s="19"/>
      <c r="I8" s="20"/>
      <c r="J8" s="20"/>
      <c r="K8" s="21"/>
      <c r="L8" s="22">
        <f t="shared" ref="L8:L19" si="1">ROUND(((I8-J8)/$I$9), 4)
</f>
        <v>0</v>
      </c>
      <c r="M8" s="21"/>
      <c r="N8" s="21"/>
      <c r="O8" s="21"/>
      <c r="P8" s="23"/>
      <c r="Q8" s="14"/>
    </row>
    <row r="9" ht="22.5" customHeight="1">
      <c r="A9" s="24" t="s">
        <v>21</v>
      </c>
      <c r="B9" s="15" t="s">
        <v>22</v>
      </c>
      <c r="C9" s="15" t="s">
        <v>23</v>
      </c>
      <c r="D9" s="16" t="s">
        <v>24</v>
      </c>
      <c r="E9" s="17">
        <v>45941.0</v>
      </c>
      <c r="F9" s="17">
        <v>45942.0</v>
      </c>
      <c r="G9" s="18">
        <f t="shared" ref="G9:G19" si="2">(F9-E9)*24*60</f>
        <v>1440</v>
      </c>
      <c r="H9" s="19" t="s">
        <v>25</v>
      </c>
      <c r="I9" s="25">
        <v>524.0</v>
      </c>
      <c r="J9" s="25">
        <v>486.0</v>
      </c>
      <c r="K9" s="26">
        <f t="shared" ref="K9:K19" si="3">(I9-J9)</f>
        <v>38</v>
      </c>
      <c r="L9" s="22">
        <f t="shared" si="1"/>
        <v>0.0725</v>
      </c>
      <c r="M9" s="26" t="s">
        <v>26</v>
      </c>
      <c r="N9" s="26" t="s">
        <v>27</v>
      </c>
      <c r="O9" s="26">
        <f t="shared" ref="O9:O19" si="4">(M9-N9)</f>
        <v>22.29</v>
      </c>
      <c r="P9" s="26" t="s">
        <v>28</v>
      </c>
      <c r="Q9" s="27" t="s">
        <v>29</v>
      </c>
    </row>
    <row r="10" ht="22.5" customHeight="1">
      <c r="A10" s="14" t="s">
        <v>30</v>
      </c>
      <c r="B10" s="15" t="s">
        <v>31</v>
      </c>
      <c r="C10" s="15" t="s">
        <v>23</v>
      </c>
      <c r="D10" s="16" t="s">
        <v>24</v>
      </c>
      <c r="E10" s="17">
        <v>45947.427083333336</v>
      </c>
      <c r="F10" s="17">
        <v>45948.427083333336</v>
      </c>
      <c r="G10" s="18">
        <f t="shared" si="2"/>
        <v>1440</v>
      </c>
      <c r="H10" s="19" t="s">
        <v>25</v>
      </c>
      <c r="I10" s="28">
        <v>524.0</v>
      </c>
      <c r="J10" s="28">
        <v>476.0</v>
      </c>
      <c r="K10" s="26">
        <f t="shared" si="3"/>
        <v>48</v>
      </c>
      <c r="L10" s="22">
        <f t="shared" si="1"/>
        <v>0.0916</v>
      </c>
      <c r="M10" s="28">
        <v>526.5</v>
      </c>
      <c r="N10" s="28">
        <v>448.22</v>
      </c>
      <c r="O10" s="26">
        <f t="shared" si="4"/>
        <v>78.28</v>
      </c>
      <c r="P10" s="23" t="s">
        <v>28</v>
      </c>
      <c r="Q10" s="14" t="s">
        <v>29</v>
      </c>
    </row>
    <row r="11" ht="22.5" customHeight="1">
      <c r="A11" s="27" t="s">
        <v>32</v>
      </c>
      <c r="B11" s="29" t="s">
        <v>33</v>
      </c>
      <c r="C11" s="29" t="s">
        <v>23</v>
      </c>
      <c r="D11" s="16" t="s">
        <v>24</v>
      </c>
      <c r="E11" s="17">
        <v>45974.833333333336</v>
      </c>
      <c r="F11" s="17">
        <v>45975.833333333336</v>
      </c>
      <c r="G11" s="18">
        <f t="shared" si="2"/>
        <v>1440</v>
      </c>
      <c r="H11" s="19" t="s">
        <v>25</v>
      </c>
      <c r="I11" s="30">
        <v>524.0</v>
      </c>
      <c r="J11" s="30">
        <v>455.0</v>
      </c>
      <c r="K11" s="26">
        <f t="shared" si="3"/>
        <v>69</v>
      </c>
      <c r="L11" s="22">
        <f t="shared" si="1"/>
        <v>0.1317</v>
      </c>
      <c r="M11" s="30">
        <v>526.5</v>
      </c>
      <c r="N11" s="30">
        <v>410.38</v>
      </c>
      <c r="O11" s="26">
        <f t="shared" si="4"/>
        <v>116.12</v>
      </c>
      <c r="P11" s="26" t="s">
        <v>34</v>
      </c>
      <c r="Q11" s="27" t="s">
        <v>35</v>
      </c>
    </row>
    <row r="12" ht="22.5" customHeight="1">
      <c r="A12" s="31"/>
      <c r="B12" s="32"/>
      <c r="C12" s="32"/>
      <c r="D12" s="33"/>
      <c r="E12" s="34"/>
      <c r="F12" s="34"/>
      <c r="G12" s="18">
        <f t="shared" si="2"/>
        <v>0</v>
      </c>
      <c r="H12" s="35"/>
      <c r="I12" s="21"/>
      <c r="J12" s="21"/>
      <c r="K12" s="26">
        <f t="shared" si="3"/>
        <v>0</v>
      </c>
      <c r="L12" s="22">
        <f t="shared" si="1"/>
        <v>0</v>
      </c>
      <c r="M12" s="21"/>
      <c r="N12" s="21"/>
      <c r="O12" s="26">
        <f t="shared" si="4"/>
        <v>0</v>
      </c>
      <c r="P12" s="36"/>
      <c r="Q12" s="37"/>
    </row>
    <row r="13" ht="22.5" customHeight="1">
      <c r="A13" s="24"/>
      <c r="B13" s="32"/>
      <c r="C13" s="32"/>
      <c r="D13" s="33"/>
      <c r="E13" s="34"/>
      <c r="F13" s="34"/>
      <c r="G13" s="18">
        <f t="shared" si="2"/>
        <v>0</v>
      </c>
      <c r="H13" s="35"/>
      <c r="I13" s="38"/>
      <c r="J13" s="38"/>
      <c r="K13" s="26">
        <f t="shared" si="3"/>
        <v>0</v>
      </c>
      <c r="L13" s="22">
        <f t="shared" si="1"/>
        <v>0</v>
      </c>
      <c r="M13" s="38"/>
      <c r="N13" s="38"/>
      <c r="O13" s="26">
        <f t="shared" si="4"/>
        <v>0</v>
      </c>
      <c r="P13" s="39"/>
      <c r="Q13" s="40"/>
    </row>
    <row r="14" ht="22.5" customHeight="1">
      <c r="A14" s="14"/>
      <c r="B14" s="41"/>
      <c r="C14" s="41"/>
      <c r="D14" s="42"/>
      <c r="E14" s="43"/>
      <c r="F14" s="43"/>
      <c r="G14" s="18">
        <f t="shared" si="2"/>
        <v>0</v>
      </c>
      <c r="H14" s="44"/>
      <c r="I14" s="21"/>
      <c r="J14" s="21"/>
      <c r="K14" s="26">
        <f t="shared" si="3"/>
        <v>0</v>
      </c>
      <c r="L14" s="22">
        <f t="shared" si="1"/>
        <v>0</v>
      </c>
      <c r="M14" s="21"/>
      <c r="N14" s="21"/>
      <c r="O14" s="26">
        <f t="shared" si="4"/>
        <v>0</v>
      </c>
      <c r="P14" s="36"/>
      <c r="Q14" s="37"/>
    </row>
    <row r="15" ht="22.5" customHeight="1">
      <c r="A15" s="27"/>
      <c r="B15" s="41"/>
      <c r="C15" s="41"/>
      <c r="D15" s="42"/>
      <c r="E15" s="43"/>
      <c r="F15" s="43"/>
      <c r="G15" s="18">
        <f t="shared" si="2"/>
        <v>0</v>
      </c>
      <c r="H15" s="44"/>
      <c r="I15" s="38"/>
      <c r="J15" s="38"/>
      <c r="K15" s="26">
        <f t="shared" si="3"/>
        <v>0</v>
      </c>
      <c r="L15" s="22">
        <f t="shared" si="1"/>
        <v>0</v>
      </c>
      <c r="M15" s="38"/>
      <c r="N15" s="38"/>
      <c r="O15" s="26">
        <f t="shared" si="4"/>
        <v>0</v>
      </c>
      <c r="P15" s="39"/>
      <c r="Q15" s="40"/>
    </row>
    <row r="16" ht="22.5" customHeight="1">
      <c r="A16" s="14"/>
      <c r="B16" s="41"/>
      <c r="C16" s="41"/>
      <c r="D16" s="42"/>
      <c r="E16" s="43"/>
      <c r="F16" s="43"/>
      <c r="G16" s="18">
        <f t="shared" si="2"/>
        <v>0</v>
      </c>
      <c r="H16" s="44"/>
      <c r="I16" s="21"/>
      <c r="J16" s="21"/>
      <c r="K16" s="26">
        <f t="shared" si="3"/>
        <v>0</v>
      </c>
      <c r="L16" s="22">
        <f t="shared" si="1"/>
        <v>0</v>
      </c>
      <c r="M16" s="21"/>
      <c r="N16" s="21"/>
      <c r="O16" s="26">
        <f t="shared" si="4"/>
        <v>0</v>
      </c>
      <c r="P16" s="36"/>
      <c r="Q16" s="37"/>
    </row>
    <row r="17" ht="22.5" customHeight="1">
      <c r="A17" s="27"/>
      <c r="B17" s="41"/>
      <c r="C17" s="41"/>
      <c r="D17" s="42"/>
      <c r="E17" s="43"/>
      <c r="F17" s="43"/>
      <c r="G17" s="18">
        <f t="shared" si="2"/>
        <v>0</v>
      </c>
      <c r="H17" s="44"/>
      <c r="I17" s="38"/>
      <c r="J17" s="38"/>
      <c r="K17" s="26">
        <f t="shared" si="3"/>
        <v>0</v>
      </c>
      <c r="L17" s="22">
        <f t="shared" si="1"/>
        <v>0</v>
      </c>
      <c r="M17" s="38"/>
      <c r="N17" s="38"/>
      <c r="O17" s="26">
        <f t="shared" si="4"/>
        <v>0</v>
      </c>
      <c r="P17" s="39"/>
      <c r="Q17" s="40"/>
    </row>
    <row r="18" ht="22.5" customHeight="1">
      <c r="A18" s="14"/>
      <c r="B18" s="41"/>
      <c r="C18" s="41"/>
      <c r="D18" s="42"/>
      <c r="E18" s="43"/>
      <c r="F18" s="43"/>
      <c r="G18" s="18">
        <f t="shared" si="2"/>
        <v>0</v>
      </c>
      <c r="H18" s="44"/>
      <c r="I18" s="21"/>
      <c r="J18" s="21"/>
      <c r="K18" s="26">
        <f t="shared" si="3"/>
        <v>0</v>
      </c>
      <c r="L18" s="22">
        <f t="shared" si="1"/>
        <v>0</v>
      </c>
      <c r="M18" s="21"/>
      <c r="N18" s="21"/>
      <c r="O18" s="26">
        <f t="shared" si="4"/>
        <v>0</v>
      </c>
      <c r="P18" s="36"/>
      <c r="Q18" s="37"/>
    </row>
    <row r="19" ht="22.5" customHeight="1">
      <c r="A19" s="27"/>
      <c r="B19" s="41"/>
      <c r="C19" s="41"/>
      <c r="D19" s="42"/>
      <c r="E19" s="43"/>
      <c r="F19" s="43"/>
      <c r="G19" s="18">
        <f t="shared" si="2"/>
        <v>0</v>
      </c>
      <c r="H19" s="44"/>
      <c r="I19" s="38"/>
      <c r="J19" s="38"/>
      <c r="K19" s="26">
        <f t="shared" si="3"/>
        <v>0</v>
      </c>
      <c r="L19" s="22">
        <f t="shared" si="1"/>
        <v>0</v>
      </c>
      <c r="M19" s="38"/>
      <c r="N19" s="38"/>
      <c r="O19" s="26">
        <f t="shared" si="4"/>
        <v>0</v>
      </c>
      <c r="P19" s="39"/>
      <c r="Q19" s="40"/>
    </row>
    <row r="20">
      <c r="I20" s="45"/>
      <c r="J20" s="45"/>
      <c r="K20" s="46"/>
      <c r="L20" s="46"/>
      <c r="M20" s="46"/>
      <c r="N20" s="46"/>
      <c r="O20" s="46"/>
      <c r="P20" s="47"/>
      <c r="Q20" s="47"/>
      <c r="R20" s="47"/>
    </row>
    <row r="21">
      <c r="I21" s="45"/>
      <c r="J21" s="45"/>
      <c r="K21" s="46"/>
      <c r="L21" s="46"/>
      <c r="M21" s="46"/>
      <c r="N21" s="46"/>
      <c r="O21" s="46"/>
      <c r="P21" s="47"/>
      <c r="Q21" s="47"/>
      <c r="R21" s="47"/>
    </row>
    <row r="22">
      <c r="I22" s="45"/>
      <c r="J22" s="45"/>
      <c r="K22" s="46"/>
      <c r="L22" s="46"/>
      <c r="M22" s="46"/>
      <c r="N22" s="46"/>
      <c r="O22" s="46"/>
      <c r="P22" s="47"/>
      <c r="Q22" s="47"/>
      <c r="R22" s="47"/>
    </row>
    <row r="23">
      <c r="I23" s="45"/>
      <c r="J23" s="45"/>
      <c r="K23" s="46"/>
      <c r="L23" s="46"/>
      <c r="M23" s="46"/>
      <c r="N23" s="46"/>
      <c r="O23" s="46"/>
      <c r="P23" s="47"/>
      <c r="Q23" s="47"/>
      <c r="R23" s="47"/>
    </row>
    <row r="24">
      <c r="I24" s="45"/>
      <c r="J24" s="45"/>
      <c r="K24" s="45"/>
      <c r="L24" s="45"/>
      <c r="M24" s="45"/>
      <c r="N24" s="45"/>
      <c r="O24" s="45"/>
    </row>
    <row r="25">
      <c r="I25" s="45"/>
      <c r="J25" s="45"/>
      <c r="K25" s="45"/>
      <c r="L25" s="45"/>
      <c r="M25" s="45"/>
      <c r="N25" s="45"/>
      <c r="O25" s="45"/>
    </row>
  </sheetData>
  <mergeCells count="1">
    <mergeCell ref="I6:O6"/>
  </mergeCells>
  <dataValidations>
    <dataValidation type="custom" allowBlank="1" showDropDown="1" sqref="E8:F19">
      <formula1>OR(NOT(ISERROR(DATEVALUE(E8))), AND(ISNUMBER(E8), LEFT(CELL("format", E8))="D"))</formula1>
    </dataValidation>
    <dataValidation type="list" allowBlank="1" sqref="H8:H19">
      <formula1>"Pausado,Não iniciado,Em progresso,Finalizado"</formula1>
    </dataValidation>
    <dataValidation type="custom" allowBlank="1" showDropDown="1" sqref="G8:G19 I8:J19">
      <formula1>AND(ISNUMBER(G8),(NOT(OR(NOT(ISERROR(DATEVALUE(G8))), AND(ISNUMBER(G8), LEFT(CELL("format", G8))="D")))))</formula1>
    </dataValidation>
    <dataValidation allowBlank="1" showDropDown="1" sqref="A8:A19 D8:D19 Q8:Q19"/>
  </dataValidations>
  <drawing r:id="rId1"/>
  <tableParts count="1">
    <tablePart r:id="rId3"/>
  </tableParts>
</worksheet>
</file>